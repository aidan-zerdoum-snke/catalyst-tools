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ython\catalyst-tools\catalyst_raw\Dataset313_ModelB\testing\validation_output\"/>
    </mc:Choice>
  </mc:AlternateContent>
  <xr:revisionPtr revIDLastSave="0" documentId="13_ncr:9_{3B3EF1E3-3A01-4AAC-B8C4-05670B94ADA3}" xr6:coauthVersionLast="47" xr6:coauthVersionMax="47" xr10:uidLastSave="{00000000-0000-0000-0000-000000000000}"/>
  <bookViews>
    <workbookView xWindow="-120" yWindow="-120" windowWidth="29040" windowHeight="15720" xr2:uid="{2AF28C90-6F89-4054-9922-553E776D0CB5}"/>
  </bookViews>
  <sheets>
    <sheet name="summary_ModelB" sheetId="1" r:id="rId1"/>
  </sheets>
  <definedNames>
    <definedName name="_xlnm._FilterDatabase" localSheetId="0" hidden="1">summary_ModelB!$A$2:$AB$10</definedName>
  </definedNames>
  <calcPr calcId="0"/>
</workbook>
</file>

<file path=xl/calcChain.xml><?xml version="1.0" encoding="utf-8"?>
<calcChain xmlns="http://schemas.openxmlformats.org/spreadsheetml/2006/main">
  <c r="AC4" i="1" l="1"/>
  <c r="AD4" i="1" s="1"/>
  <c r="AC5" i="1"/>
  <c r="AD5" i="1" s="1"/>
  <c r="AC6" i="1"/>
  <c r="AD6" i="1" s="1"/>
  <c r="AC7" i="1"/>
  <c r="AD7" i="1" s="1"/>
  <c r="AC8" i="1"/>
  <c r="AD8" i="1" s="1"/>
  <c r="AC9" i="1"/>
  <c r="AD9" i="1" s="1"/>
  <c r="AC10" i="1"/>
  <c r="AD10" i="1" s="1"/>
  <c r="AC3" i="1"/>
  <c r="AD3" i="1" s="1"/>
</calcChain>
</file>

<file path=xl/sharedStrings.xml><?xml version="1.0" encoding="utf-8"?>
<sst xmlns="http://schemas.openxmlformats.org/spreadsheetml/2006/main" count="66" uniqueCount="50">
  <si>
    <t>volume_filename</t>
  </si>
  <si>
    <t>segment_filename</t>
  </si>
  <si>
    <t>side</t>
  </si>
  <si>
    <t>spacing_x_mm</t>
  </si>
  <si>
    <t>spacing_y_mm</t>
  </si>
  <si>
    <t>spacing_z_mm</t>
  </si>
  <si>
    <t>dim_x</t>
  </si>
  <si>
    <t>dim_y</t>
  </si>
  <si>
    <t>dim_z</t>
  </si>
  <si>
    <t>extent_x_mm</t>
  </si>
  <si>
    <t>extent_y_mm</t>
  </si>
  <si>
    <t>extent_z_mm</t>
  </si>
  <si>
    <t>num_slices_total</t>
  </si>
  <si>
    <t>num_slices_ijv</t>
  </si>
  <si>
    <t>num_slices_angle</t>
  </si>
  <si>
    <t>ijv_csa_min_mm2</t>
  </si>
  <si>
    <t>ijv_csa_max_mm2</t>
  </si>
  <si>
    <t>ijv_csa_mean_mm2</t>
  </si>
  <si>
    <t>ijv_csa_std_mm2</t>
  </si>
  <si>
    <t>angle_min_deg</t>
  </si>
  <si>
    <t>angle_max_deg</t>
  </si>
  <si>
    <t>angle_mean_deg</t>
  </si>
  <si>
    <t>angle_std_deg</t>
  </si>
  <si>
    <t>ijv_volume_ml</t>
  </si>
  <si>
    <t>ijv_circ_min</t>
  </si>
  <si>
    <t>ijv_circ_max</t>
  </si>
  <si>
    <t>ijv_circ_mean</t>
  </si>
  <si>
    <t>ijv_circ_std</t>
  </si>
  <si>
    <t>CASE-001-P1-1-LEFT_0000.nii.gz</t>
  </si>
  <si>
    <t>CASE-001-P1-1-LEFT.nii.gz</t>
  </si>
  <si>
    <t>Left</t>
  </si>
  <si>
    <t>CASE-005-P1-1-RIGHT_0000.nii.gz</t>
  </si>
  <si>
    <t>CASE-005-P1-1-RIGHT.nii.gz</t>
  </si>
  <si>
    <t>Right</t>
  </si>
  <si>
    <t>CASE-006-P2-1-LEFT_0000.nii.gz</t>
  </si>
  <si>
    <t>CASE-006-P2-1-LEFT.nii.gz</t>
  </si>
  <si>
    <t>CASE-006-P2-1-RIGHT_0000.nii.gz</t>
  </si>
  <si>
    <t>CASE-006-P2-1-RIGHT.nii.gz</t>
  </si>
  <si>
    <t>CASE-007-P3-1-RIGHT_0000.nii.gz</t>
  </si>
  <si>
    <t>CASE-007-P3-1-RIGHT.nii.gz</t>
  </si>
  <si>
    <t>CASE-008-P1-1-LEFT_0000.nii.gz</t>
  </si>
  <si>
    <t>CASE-008-P1-1-LEFT.nii.gz</t>
  </si>
  <si>
    <t>CASE-011-P2-3-RIGHT_0000.nii.gz</t>
  </si>
  <si>
    <t>CASE-011-P2-3-RIGHT.nii.gz</t>
  </si>
  <si>
    <t>CASE-029-P2-1-RIGHT_0000.nii.gz</t>
  </si>
  <si>
    <t>CASE-029-P2-1-RIGHT.nii.gz</t>
  </si>
  <si>
    <t>Model B Performance</t>
  </si>
  <si>
    <t>Ground truth lookup</t>
  </si>
  <si>
    <t>Ground truth value</t>
  </si>
  <si>
    <t>Ground Truth -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</si>
</sst>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9"/>
      <color theme="1"/>
      <name val="Brainlab Now"/>
      <family val="2"/>
    </font>
    <font>
      <sz val="9"/>
      <color theme="1"/>
      <name val="Brainlab Now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Brainlab Now"/>
      <family val="2"/>
    </font>
    <font>
      <b/>
      <sz val="13"/>
      <color theme="3"/>
      <name val="Brainlab Now"/>
      <family val="2"/>
    </font>
    <font>
      <b/>
      <sz val="11"/>
      <color theme="3"/>
      <name val="Brainlab Now"/>
      <family val="2"/>
    </font>
    <font>
      <sz val="9"/>
      <color rgb="FF006100"/>
      <name val="Brainlab Now"/>
      <family val="2"/>
    </font>
    <font>
      <sz val="9"/>
      <color rgb="FF9C0006"/>
      <name val="Brainlab Now"/>
      <family val="2"/>
    </font>
    <font>
      <sz val="9"/>
      <color rgb="FF9C5700"/>
      <name val="Brainlab Now"/>
      <family val="2"/>
    </font>
    <font>
      <sz val="9"/>
      <color rgb="FF3F3F76"/>
      <name val="Brainlab Now"/>
      <family val="2"/>
    </font>
    <font>
      <b/>
      <sz val="9"/>
      <color rgb="FF3F3F3F"/>
      <name val="Brainlab Now"/>
      <family val="2"/>
    </font>
    <font>
      <b/>
      <sz val="9"/>
      <color rgb="FFFA7D00"/>
      <name val="Brainlab Now"/>
      <family val="2"/>
    </font>
    <font>
      <sz val="9"/>
      <color rgb="FFFA7D00"/>
      <name val="Brainlab Now"/>
      <family val="2"/>
    </font>
    <font>
      <b/>
      <sz val="9"/>
      <color theme="0"/>
      <name val="Brainlab Now"/>
      <family val="2"/>
    </font>
    <font>
      <sz val="9"/>
      <color rgb="FFFF0000"/>
      <name val="Brainlab Now"/>
      <family val="2"/>
    </font>
    <font>
      <i/>
      <sz val="9"/>
      <color rgb="FF7F7F7F"/>
      <name val="Brainlab Now"/>
      <family val="2"/>
    </font>
    <font>
      <b/>
      <sz val="9"/>
      <color theme="1"/>
      <name val="Brainlab Now"/>
      <family val="2"/>
    </font>
    <font>
      <sz val="9"/>
      <color theme="0"/>
      <name val="Brainlab Now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 applyNumberFormat="1"/>
    <xf numFmtId="2" fontId="0" fillId="0" borderId="0" xfId="0" quotePrefix="1" applyNumberFormat="1"/>
    <xf numFmtId="2" fontId="0" fillId="0" borderId="0" xfId="0" applyNumberFormat="1"/>
    <xf numFmtId="0" fontId="16" fillId="33" borderId="0" xfId="0" applyFont="1" applyFill="1"/>
    <xf numFmtId="0" fontId="16" fillId="34" borderId="0" xfId="0" applyFont="1" applyFill="1"/>
    <xf numFmtId="0" fontId="16" fillId="35" borderId="0" xfId="0" applyFont="1" applyFill="1"/>
    <xf numFmtId="0" fontId="16" fillId="36" borderId="0" xfId="0" applyFont="1" applyFill="1"/>
    <xf numFmtId="0" fontId="16" fillId="37" borderId="0" xfId="0" applyFont="1" applyFill="1"/>
    <xf numFmtId="0" fontId="16" fillId="38" borderId="0" xfId="0" applyFont="1" applyFill="1"/>
    <xf numFmtId="0" fontId="16" fillId="0" borderId="0" xfId="0" applyFont="1"/>
    <xf numFmtId="0" fontId="16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E6E5D-F807-4D8B-B2FA-1940D637AAEE}">
  <dimension ref="A1:AN12"/>
  <sheetViews>
    <sheetView tabSelected="1" zoomScale="175" zoomScaleNormal="175" workbookViewId="0">
      <selection activeCell="R14" sqref="R14"/>
    </sheetView>
  </sheetViews>
  <sheetFormatPr defaultRowHeight="14.25" x14ac:dyDescent="0.3"/>
  <cols>
    <col min="1" max="1" width="32.42578125" customWidth="1"/>
    <col min="2" max="17" width="0" hidden="1" customWidth="1"/>
    <col min="18" max="18" width="21.140625" customWidth="1"/>
    <col min="19" max="27" width="0" hidden="1" customWidth="1"/>
    <col min="28" max="28" width="0.5703125" customWidth="1"/>
    <col min="29" max="29" width="16.28515625" bestFit="1" customWidth="1"/>
    <col min="30" max="30" width="18.42578125" bestFit="1" customWidth="1"/>
  </cols>
  <sheetData>
    <row r="1" spans="1:40" x14ac:dyDescent="0.3">
      <c r="A1" s="11" t="s">
        <v>46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M1" t="s">
        <v>47</v>
      </c>
    </row>
    <row r="2" spans="1:40" x14ac:dyDescent="0.3">
      <c r="A2" s="4" t="s">
        <v>0</v>
      </c>
      <c r="B2" s="4" t="s">
        <v>1</v>
      </c>
      <c r="C2" s="4" t="s">
        <v>2</v>
      </c>
      <c r="D2" s="5" t="s">
        <v>3</v>
      </c>
      <c r="E2" s="5" t="s">
        <v>4</v>
      </c>
      <c r="F2" s="5" t="s">
        <v>5</v>
      </c>
      <c r="G2" s="6" t="s">
        <v>6</v>
      </c>
      <c r="H2" s="6" t="s">
        <v>7</v>
      </c>
      <c r="I2" s="6" t="s">
        <v>8</v>
      </c>
      <c r="J2" s="7" t="s">
        <v>9</v>
      </c>
      <c r="K2" s="7" t="s">
        <v>10</v>
      </c>
      <c r="L2" s="7" t="s">
        <v>11</v>
      </c>
      <c r="M2" s="8" t="s">
        <v>12</v>
      </c>
      <c r="N2" s="8" t="s">
        <v>13</v>
      </c>
      <c r="O2" s="8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8" t="s">
        <v>23</v>
      </c>
      <c r="Y2" s="6" t="s">
        <v>24</v>
      </c>
      <c r="Z2" s="6" t="s">
        <v>25</v>
      </c>
      <c r="AA2" s="6" t="s">
        <v>26</v>
      </c>
      <c r="AB2" s="6" t="s">
        <v>27</v>
      </c>
      <c r="AC2" s="9" t="s">
        <v>48</v>
      </c>
      <c r="AD2" s="9" t="s">
        <v>49</v>
      </c>
      <c r="AM2" t="s">
        <v>0</v>
      </c>
      <c r="AN2" s="5" t="s">
        <v>17</v>
      </c>
    </row>
    <row r="3" spans="1:40" x14ac:dyDescent="0.3">
      <c r="A3" t="s">
        <v>36</v>
      </c>
      <c r="B3" t="s">
        <v>37</v>
      </c>
      <c r="C3" t="s">
        <v>33</v>
      </c>
      <c r="D3" s="1">
        <v>0.109999999403953</v>
      </c>
      <c r="E3" s="1">
        <v>0.109999999403953</v>
      </c>
      <c r="F3" s="1">
        <v>0.109999999403953</v>
      </c>
      <c r="G3">
        <v>552</v>
      </c>
      <c r="H3">
        <v>486</v>
      </c>
      <c r="I3">
        <v>631</v>
      </c>
      <c r="J3" s="1">
        <v>60.719999670982297</v>
      </c>
      <c r="K3" s="1">
        <v>53.459999710321398</v>
      </c>
      <c r="L3" s="1">
        <v>69.409999623894606</v>
      </c>
      <c r="M3">
        <v>631</v>
      </c>
      <c r="N3">
        <v>534</v>
      </c>
      <c r="O3">
        <v>534</v>
      </c>
      <c r="P3" s="2">
        <v>1.34309998544454</v>
      </c>
      <c r="Q3" s="2">
        <v>124.18229865421</v>
      </c>
      <c r="R3" s="2">
        <v>91.041577290516997</v>
      </c>
      <c r="S3" s="2">
        <v>17.7254924508124</v>
      </c>
      <c r="T3" s="3">
        <v>-21.976584069901602</v>
      </c>
      <c r="U3" s="2">
        <v>20.238131667563302</v>
      </c>
      <c r="V3" s="3">
        <v>-2.78236269550254</v>
      </c>
      <c r="W3" s="2">
        <v>10.6811239503217</v>
      </c>
      <c r="X3" s="2">
        <v>5.3477822210674502</v>
      </c>
      <c r="Y3" s="2">
        <v>0.19218693058335501</v>
      </c>
      <c r="Z3" s="2">
        <v>0.65275314024587905</v>
      </c>
      <c r="AA3" s="2">
        <v>0.515104611185071</v>
      </c>
      <c r="AB3" s="3">
        <v>6.6696272317808794E-2</v>
      </c>
      <c r="AC3" s="3">
        <f>_xlfn.XLOOKUP(A3,$AM$3:$AM$10,$AN$3:$AN$10,"not found",0,1)</f>
        <v>93.169932870079407</v>
      </c>
      <c r="AD3" s="3">
        <f>AC3-R3</f>
        <v>2.1283555795624096</v>
      </c>
      <c r="AM3" t="s">
        <v>42</v>
      </c>
      <c r="AN3" s="3">
        <v>111.281324330472</v>
      </c>
    </row>
    <row r="4" spans="1:40" x14ac:dyDescent="0.3">
      <c r="A4" t="s">
        <v>42</v>
      </c>
      <c r="B4" t="s">
        <v>43</v>
      </c>
      <c r="C4" t="s">
        <v>33</v>
      </c>
      <c r="D4" s="1">
        <v>0.11999999731779</v>
      </c>
      <c r="E4" s="1">
        <v>0.11999999731779</v>
      </c>
      <c r="F4" s="1">
        <v>0.11999999731779</v>
      </c>
      <c r="G4">
        <v>472</v>
      </c>
      <c r="H4">
        <v>427</v>
      </c>
      <c r="I4">
        <v>489</v>
      </c>
      <c r="J4" s="1">
        <v>56.639998733997302</v>
      </c>
      <c r="K4" s="1">
        <v>51.239998854696701</v>
      </c>
      <c r="L4" s="1">
        <v>58.679998688399699</v>
      </c>
      <c r="M4">
        <v>489</v>
      </c>
      <c r="N4">
        <v>316</v>
      </c>
      <c r="O4">
        <v>316</v>
      </c>
      <c r="P4" s="2">
        <v>0.187199991631507</v>
      </c>
      <c r="Q4" s="2">
        <v>120.71519460361</v>
      </c>
      <c r="R4" s="3">
        <v>80.029819207198301</v>
      </c>
      <c r="S4" s="2">
        <v>35.1296150581042</v>
      </c>
      <c r="T4" s="3">
        <v>-22.2786745591116</v>
      </c>
      <c r="U4" s="2">
        <v>12.8591047666536</v>
      </c>
      <c r="V4" s="3">
        <v>-8.8711560677649608</v>
      </c>
      <c r="W4" s="2">
        <v>8.1589395269795695</v>
      </c>
      <c r="X4" s="2">
        <v>3.0347306765054398</v>
      </c>
      <c r="Y4" s="2">
        <v>0.17353559419829301</v>
      </c>
      <c r="Z4" s="3">
        <v>0.87964594300514198</v>
      </c>
      <c r="AA4" s="2">
        <v>0.49925379664224701</v>
      </c>
      <c r="AB4" s="3">
        <v>9.7305475002056205E-2</v>
      </c>
      <c r="AC4" s="3">
        <f>_xlfn.XLOOKUP(A4,$AM$3:$AM$10,$AN$3:$AN$10,"not found",0,1)</f>
        <v>111.281324330472</v>
      </c>
      <c r="AD4" s="3">
        <f>AC4-R4</f>
        <v>31.251505123273702</v>
      </c>
      <c r="AM4" t="s">
        <v>36</v>
      </c>
      <c r="AN4" s="3">
        <v>93.169932870079407</v>
      </c>
    </row>
    <row r="5" spans="1:40" x14ac:dyDescent="0.3">
      <c r="A5" t="s">
        <v>40</v>
      </c>
      <c r="B5" t="s">
        <v>41</v>
      </c>
      <c r="C5" t="s">
        <v>30</v>
      </c>
      <c r="D5" s="1">
        <v>0.11999999731779</v>
      </c>
      <c r="E5" s="1">
        <v>0.11999999731779</v>
      </c>
      <c r="F5" s="1">
        <v>0.11999999731779</v>
      </c>
      <c r="G5">
        <v>471</v>
      </c>
      <c r="H5">
        <v>431</v>
      </c>
      <c r="I5">
        <v>445</v>
      </c>
      <c r="J5" s="1">
        <v>56.519998736679497</v>
      </c>
      <c r="K5" s="1">
        <v>51.7199988439679</v>
      </c>
      <c r="L5" s="1">
        <v>53.399998806416903</v>
      </c>
      <c r="M5">
        <v>445</v>
      </c>
      <c r="N5">
        <v>371</v>
      </c>
      <c r="O5">
        <v>371</v>
      </c>
      <c r="P5" s="2">
        <v>0.50399997746944403</v>
      </c>
      <c r="Q5" s="2">
        <v>106.61759523382101</v>
      </c>
      <c r="R5" s="3">
        <v>76.722963686119101</v>
      </c>
      <c r="S5" s="2">
        <v>18.587578533596499</v>
      </c>
      <c r="T5" s="3">
        <v>-3.6681900539397101</v>
      </c>
      <c r="U5" s="2">
        <v>21.034450807568199</v>
      </c>
      <c r="V5" s="2">
        <v>12.4336688594747</v>
      </c>
      <c r="W5" s="2">
        <v>5.3104390474941798</v>
      </c>
      <c r="X5" s="2">
        <v>3.4157062669590301</v>
      </c>
      <c r="Y5" s="2">
        <v>0.14350932309106201</v>
      </c>
      <c r="Z5" s="2">
        <v>0.63544501688867205</v>
      </c>
      <c r="AA5" s="2">
        <v>0.41905461864976301</v>
      </c>
      <c r="AB5" s="2">
        <v>0.13448145235717501</v>
      </c>
      <c r="AC5" s="3">
        <f>_xlfn.XLOOKUP(A5,$AM$3:$AM$10,$AN$3:$AN$10,"not found",0,1)</f>
        <v>87.996634364116105</v>
      </c>
      <c r="AD5" s="3">
        <f>AC5-R5</f>
        <v>11.273670677997004</v>
      </c>
      <c r="AM5" t="s">
        <v>40</v>
      </c>
      <c r="AN5" s="3">
        <v>87.996634364116105</v>
      </c>
    </row>
    <row r="6" spans="1:40" x14ac:dyDescent="0.3">
      <c r="A6" t="s">
        <v>38</v>
      </c>
      <c r="B6" t="s">
        <v>39</v>
      </c>
      <c r="C6" t="s">
        <v>33</v>
      </c>
      <c r="D6" s="1">
        <v>0.11999999731779</v>
      </c>
      <c r="E6" s="1">
        <v>0.11999999731779</v>
      </c>
      <c r="F6" s="1">
        <v>0.11999999731779</v>
      </c>
      <c r="G6">
        <v>617</v>
      </c>
      <c r="H6">
        <v>427</v>
      </c>
      <c r="I6">
        <v>458</v>
      </c>
      <c r="J6" s="1">
        <v>74.039998345076995</v>
      </c>
      <c r="K6" s="1">
        <v>51.239998854696701</v>
      </c>
      <c r="L6" s="1">
        <v>54.9599987715482</v>
      </c>
      <c r="M6">
        <v>458</v>
      </c>
      <c r="N6">
        <v>262</v>
      </c>
      <c r="O6">
        <v>249</v>
      </c>
      <c r="P6" s="3">
        <v>0.460799979400635</v>
      </c>
      <c r="Q6" s="2">
        <v>109.33919511215601</v>
      </c>
      <c r="R6" s="2">
        <v>70.864265534410407</v>
      </c>
      <c r="S6" s="2">
        <v>23.689469526761599</v>
      </c>
      <c r="T6" s="3">
        <v>-28.481351201011702</v>
      </c>
      <c r="U6" s="3">
        <v>-4.7361360974558799</v>
      </c>
      <c r="V6" s="3">
        <v>-12.839990592160699</v>
      </c>
      <c r="W6" s="2">
        <v>6.0227110950538796</v>
      </c>
      <c r="X6" s="2">
        <v>2.2279724586027898</v>
      </c>
      <c r="Y6" s="2">
        <v>0.27971790760825399</v>
      </c>
      <c r="Z6" s="2">
        <v>0.76015852487616897</v>
      </c>
      <c r="AA6" s="2">
        <v>0.48480447194016202</v>
      </c>
      <c r="AB6" s="3">
        <v>5.2241884075656303E-2</v>
      </c>
      <c r="AC6" s="3">
        <f>_xlfn.XLOOKUP(A6,$AM$3:$AM$10,$AN$3:$AN$10,"not found",0,1)</f>
        <v>73.351214368003895</v>
      </c>
      <c r="AD6" s="3">
        <f>AC6-R6</f>
        <v>2.4869488335934875</v>
      </c>
      <c r="AM6" t="s">
        <v>38</v>
      </c>
      <c r="AN6" s="3">
        <v>73.351214368003895</v>
      </c>
    </row>
    <row r="7" spans="1:40" x14ac:dyDescent="0.3">
      <c r="A7" t="s">
        <v>34</v>
      </c>
      <c r="B7" t="s">
        <v>35</v>
      </c>
      <c r="C7" t="s">
        <v>30</v>
      </c>
      <c r="D7" s="1">
        <v>0.109999999403953</v>
      </c>
      <c r="E7" s="1">
        <v>0.109999999403953</v>
      </c>
      <c r="F7" s="1">
        <v>0.109999999403953</v>
      </c>
      <c r="G7">
        <v>480</v>
      </c>
      <c r="H7">
        <v>389</v>
      </c>
      <c r="I7">
        <v>395</v>
      </c>
      <c r="J7" s="1">
        <v>52.799999713897698</v>
      </c>
      <c r="K7" s="1">
        <v>42.789999768137903</v>
      </c>
      <c r="L7" s="1">
        <v>43.449999764561603</v>
      </c>
      <c r="M7">
        <v>395</v>
      </c>
      <c r="N7">
        <v>262</v>
      </c>
      <c r="O7">
        <v>262</v>
      </c>
      <c r="P7" s="2">
        <v>2.5772999720692602</v>
      </c>
      <c r="Q7" s="2">
        <v>88.342099042618202</v>
      </c>
      <c r="R7" s="2">
        <v>63.737950072617302</v>
      </c>
      <c r="S7" s="2">
        <v>18.871214119011501</v>
      </c>
      <c r="T7" s="3">
        <v>-16.892632317155201</v>
      </c>
      <c r="U7" s="2">
        <v>4.7047024919590301</v>
      </c>
      <c r="V7" s="3">
        <v>-7.1011774469282303</v>
      </c>
      <c r="W7" s="3">
        <v>5.4380943623334801</v>
      </c>
      <c r="X7" s="2">
        <v>1.8369277111392399</v>
      </c>
      <c r="Y7" s="2">
        <v>0.18405855822992101</v>
      </c>
      <c r="Z7" s="2">
        <v>0.69631554132635298</v>
      </c>
      <c r="AA7" s="2">
        <v>0.58269203889098398</v>
      </c>
      <c r="AB7" s="3">
        <v>8.1763298495023895E-2</v>
      </c>
      <c r="AC7" s="3">
        <f>_xlfn.XLOOKUP(A7,$AM$3:$AM$10,$AN$3:$AN$10,"not found",0,1)</f>
        <v>62.986655457751297</v>
      </c>
      <c r="AD7" s="3">
        <f>AC7-R7</f>
        <v>-0.75129461486600491</v>
      </c>
      <c r="AM7" t="s">
        <v>44</v>
      </c>
      <c r="AN7" s="3">
        <v>67.971072338340505</v>
      </c>
    </row>
    <row r="8" spans="1:40" x14ac:dyDescent="0.3">
      <c r="A8" t="s">
        <v>44</v>
      </c>
      <c r="B8" t="s">
        <v>45</v>
      </c>
      <c r="C8" t="s">
        <v>33</v>
      </c>
      <c r="D8" s="1">
        <v>0.11999999731779</v>
      </c>
      <c r="E8" s="1">
        <v>0.11999999731779</v>
      </c>
      <c r="F8" s="1">
        <v>0.11999999731779</v>
      </c>
      <c r="G8">
        <v>512</v>
      </c>
      <c r="H8">
        <v>430</v>
      </c>
      <c r="I8">
        <v>452</v>
      </c>
      <c r="J8" s="1">
        <v>61.439998626708899</v>
      </c>
      <c r="K8" s="1">
        <v>51.599998846650102</v>
      </c>
      <c r="L8" s="1">
        <v>54.239998787641497</v>
      </c>
      <c r="M8">
        <v>452</v>
      </c>
      <c r="N8">
        <v>396</v>
      </c>
      <c r="O8">
        <v>393</v>
      </c>
      <c r="P8" s="2">
        <v>2.1455999040842002</v>
      </c>
      <c r="Q8" s="2">
        <v>79.257596456909198</v>
      </c>
      <c r="R8" s="2">
        <v>63.632397155409997</v>
      </c>
      <c r="S8" s="2">
        <v>13.0597583052286</v>
      </c>
      <c r="T8" s="3">
        <v>-28.665087852679601</v>
      </c>
      <c r="U8" s="3">
        <v>-6.9971479329474002</v>
      </c>
      <c r="V8" s="3">
        <v>-17.475586710325299</v>
      </c>
      <c r="W8" s="3">
        <v>7.0272474827947002</v>
      </c>
      <c r="X8" s="2">
        <v>3.0238114452376301</v>
      </c>
      <c r="Y8" s="3">
        <v>9.9317422402869407E-2</v>
      </c>
      <c r="Z8" s="2">
        <v>0.69245163518473196</v>
      </c>
      <c r="AA8" s="2">
        <v>0.58680030986021603</v>
      </c>
      <c r="AB8" s="3">
        <v>6.4545853664092601E-2</v>
      </c>
      <c r="AC8" s="3">
        <f>_xlfn.XLOOKUP(A8,$AM$3:$AM$10,$AN$3:$AN$10,"not found",0,1)</f>
        <v>67.971072338340505</v>
      </c>
      <c r="AD8" s="3">
        <f>AC8-R8</f>
        <v>4.3386751829305084</v>
      </c>
      <c r="AM8" t="s">
        <v>31</v>
      </c>
      <c r="AN8" s="3">
        <v>67.600904978003896</v>
      </c>
    </row>
    <row r="9" spans="1:40" x14ac:dyDescent="0.3">
      <c r="A9" t="s">
        <v>31</v>
      </c>
      <c r="B9" t="s">
        <v>32</v>
      </c>
      <c r="C9" t="s">
        <v>33</v>
      </c>
      <c r="D9" s="1">
        <v>0.11999999731779</v>
      </c>
      <c r="E9" s="1">
        <v>0.11999999731779</v>
      </c>
      <c r="F9" s="1">
        <v>0.11999999731779</v>
      </c>
      <c r="G9">
        <v>503</v>
      </c>
      <c r="H9">
        <v>420</v>
      </c>
      <c r="I9">
        <v>505</v>
      </c>
      <c r="J9" s="1">
        <v>60.359998650848802</v>
      </c>
      <c r="K9" s="1">
        <v>50.3999988734722</v>
      </c>
      <c r="L9" s="1">
        <v>60.599998645484398</v>
      </c>
      <c r="M9">
        <v>505</v>
      </c>
      <c r="N9">
        <v>395</v>
      </c>
      <c r="O9">
        <v>391</v>
      </c>
      <c r="P9" s="2">
        <v>1.18079994721412</v>
      </c>
      <c r="Q9" s="2">
        <v>75.859196608829507</v>
      </c>
      <c r="R9" s="2">
        <v>57.145467825145197</v>
      </c>
      <c r="S9" s="2">
        <v>13.5366093373518</v>
      </c>
      <c r="T9" s="3">
        <v>-25.400771146311001</v>
      </c>
      <c r="U9" s="2">
        <v>10.8532512768533</v>
      </c>
      <c r="V9" s="3">
        <v>-9.72007919096996</v>
      </c>
      <c r="W9" s="2">
        <v>9.9521103038402998</v>
      </c>
      <c r="X9" s="2">
        <v>2.7086951143678299</v>
      </c>
      <c r="Y9" s="2">
        <v>0.12956246348426001</v>
      </c>
      <c r="Z9" s="2">
        <v>0.70241386991619803</v>
      </c>
      <c r="AA9" s="2">
        <v>0.46959256016994599</v>
      </c>
      <c r="AB9" s="2">
        <v>0.19547088522137901</v>
      </c>
      <c r="AC9" s="3">
        <f>_xlfn.XLOOKUP(A9,$AM$3:$AM$10,$AN$3:$AN$10,"not found",0,1)</f>
        <v>67.600904978003896</v>
      </c>
      <c r="AD9" s="3">
        <f>AC9-R9</f>
        <v>10.4554371528587</v>
      </c>
      <c r="AM9" t="s">
        <v>34</v>
      </c>
      <c r="AN9" s="3">
        <v>62.986655457751297</v>
      </c>
    </row>
    <row r="10" spans="1:40" x14ac:dyDescent="0.3">
      <c r="A10" t="s">
        <v>28</v>
      </c>
      <c r="B10" t="s">
        <v>29</v>
      </c>
      <c r="C10" t="s">
        <v>30</v>
      </c>
      <c r="D10" s="1">
        <v>0.11999999731779</v>
      </c>
      <c r="E10" s="1">
        <v>0.11999999731779</v>
      </c>
      <c r="F10" s="1">
        <v>0.11999999731779</v>
      </c>
      <c r="G10">
        <v>486</v>
      </c>
      <c r="H10">
        <v>453</v>
      </c>
      <c r="I10">
        <v>370</v>
      </c>
      <c r="J10" s="1">
        <v>58.319998696446397</v>
      </c>
      <c r="K10" s="1">
        <v>54.359998784959302</v>
      </c>
      <c r="L10" s="1">
        <v>44.399999007582601</v>
      </c>
      <c r="M10">
        <v>370</v>
      </c>
      <c r="N10">
        <v>274</v>
      </c>
      <c r="O10">
        <v>274</v>
      </c>
      <c r="P10" s="2">
        <v>0.66239997038841203</v>
      </c>
      <c r="Q10" s="2">
        <v>73.468796715688697</v>
      </c>
      <c r="R10" s="2">
        <v>53.323460389978102</v>
      </c>
      <c r="S10" s="2">
        <v>13.946648511712301</v>
      </c>
      <c r="T10" s="3">
        <v>-25.446613577543101</v>
      </c>
      <c r="U10" s="2">
        <v>26.0357640955006</v>
      </c>
      <c r="V10" s="2">
        <v>7.4238363295190499</v>
      </c>
      <c r="W10" s="2">
        <v>11.2334222406592</v>
      </c>
      <c r="X10" s="2">
        <v>1.7532753384337201</v>
      </c>
      <c r="Y10" s="2">
        <v>0.23973467162051901</v>
      </c>
      <c r="Z10" s="2">
        <v>0.73731256155678804</v>
      </c>
      <c r="AA10" s="3">
        <v>0.53676287535105804</v>
      </c>
      <c r="AB10" s="3">
        <v>7.4340141275387794E-2</v>
      </c>
      <c r="AC10" s="3">
        <f>_xlfn.XLOOKUP(A10,$AM$3:$AM$10,$AN$3:$AN$10,"not found",0,1)</f>
        <v>53.686745426102298</v>
      </c>
      <c r="AD10" s="3">
        <f>AC10-R10</f>
        <v>0.36328503612419638</v>
      </c>
      <c r="AM10" t="s">
        <v>28</v>
      </c>
      <c r="AN10" s="3">
        <v>53.686745426102298</v>
      </c>
    </row>
    <row r="12" spans="1:40" s="10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</row>
  </sheetData>
  <autoFilter ref="A2:AB10" xr:uid="{6D1E6E5D-F807-4D8B-B2FA-1940D637AAEE}">
    <sortState xmlns:xlrd2="http://schemas.microsoft.com/office/spreadsheetml/2017/richdata2" ref="A3:AB10">
      <sortCondition descending="1" ref="R2:R10"/>
    </sortState>
  </autoFilter>
  <mergeCells count="1">
    <mergeCell ref="A1:AD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summary_ModelB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Aidan Zerdoum</cp:lastModifiedBy>
  <dcterms:created xsi:type="dcterms:W3CDTF">2026-03-03T21:21:09Z</dcterms:created>
  <dcterms:modified xsi:type="dcterms:W3CDTF">2026-03-04T17:37:29Z</dcterms:modified>
</cp:coreProperties>
</file>